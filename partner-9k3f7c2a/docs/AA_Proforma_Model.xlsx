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forma (5-yr)" sheetId="2" state="visible" r:id="rId4"/>
    <sheet name="Infrastructure (free→paid)" sheetId="3" state="visible" r:id="rId5"/>
    <sheet name="Equity &amp; vesting" sheetId="4" state="visible" r:id="rId6"/>
    <sheet name="Exit &amp; $1M go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<sst xmlns="http://schemas.openxmlformats.org/spreadsheetml/2006/main" count="236" uniqueCount="185">
  <si>
    <t xml:space="preserve">Amp Academy — Enterprise Proforma &amp; Equity Model</t>
  </si>
  <si>
    <t xml:space="preserve">Prepared for Jim Repasch &amp; Mike Longley · 2026-06-21 · companion to the Business Plan</t>
  </si>
  <si>
    <t xml:space="preserve">⚠  THIS IS ILLUSTRATIVE — NOT FINANCIAL OR LEGAL ADVICE.</t>
  </si>
  <si>
    <t xml:space="preserve">These are conservative, ground-up projections on TINY market acceptance (one customer at a time). They are a planning tool to size the opportunity and the equity trade — not a forecast or a promise. Actual results will differ. Entity, vesting, buy-sell, salaries, and distributions must be finalized by an attorney + CPA.</t>
  </si>
  <si>
    <t xml:space="preserve">How to use it</t>
  </si>
  <si>
    <t xml:space="preserve">• Blue cells are inputs — change them to run your own scenario.  • Black cells are formulas.  • Green cells pull from another tab.  • Yellow = key assumption to confirm.</t>
  </si>
  <si>
    <t xml:space="preserve">The tabs</t>
  </si>
  <si>
    <t xml:space="preserve">1) Proforma (5-yr) — the ground-up P&amp;L and cash: Customer #1 → #50, revenue, costs, commissions, what's left to distribute.</t>
  </si>
  <si>
    <t xml:space="preserve">2) Infrastructure (free→paid) — exactly where AA rides on third-party FREE tiers today, the real market price of each, and the AA revenue mark where each flips from free to paid. Honest-state: nothing is free forever.</t>
  </si>
  <si>
    <t xml:space="preserve">3) Equity &amp; vesting — both cap-table scenarios, the vesting/forfeiture rules, and each person's stake VALUE and CASH at every milestone. This is the 'quantify it for me.'</t>
  </si>
  <si>
    <t xml:space="preserve">The doctrine baked in</t>
  </si>
  <si>
    <t xml:space="preserve">• Nobody rides for free — equity is milestone-EARNED (start month 1, 12-month cliff, forfeit if you leave before month 13).</t>
  </si>
  <si>
    <t xml:space="preserve">• Most cash to the owners — quarterly sweep to vested holders, leaving only what's needed to operate.</t>
  </si>
  <si>
    <t xml:space="preserve">• Whoever sells gets paid — commission MOST/LESS/LEAST over the 3-year deal life (Computer-Associates style).</t>
  </si>
  <si>
    <t xml:space="preserve">• Enterprise is the engine; Perry/consumer is a SEPARATE play (its own model).</t>
  </si>
  <si>
    <t xml:space="preserve">Amp Academy — Enterprise Proforma (ground-up, tiny acceptance)</t>
  </si>
  <si>
    <t xml:space="preserve">All figures illustrative · enterprise/institutional only · USD</t>
  </si>
  <si>
    <t xml:space="preserve">ASSUMPTIONS (blue = edit me)</t>
  </si>
  <si>
    <t xml:space="preserve">Driver</t>
  </si>
  <si>
    <t xml:space="preserve">Note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</si>
  <si>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</si>
  <si>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</si>
  <si>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</si>
  <si>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</si>
  <si>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</si>
  <si>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Customers (cumulative, end of yr)</t>
  </si>
  <si>
    <t xml:space="preserve">the ramp</t>
  </si>
  <si>
    <t xml:space="preserve">New customers added</t>
  </si>
  <si>
    <t xml:space="preserve">derived</t>
  </si>
  <si>
    <t xml:space="preserve">Eff. annual revenue / customer ($)</t>
  </si>
  <si>
    <t xml:space="preserve">blended 1-yr &amp; 3-yr</t>
  </si>
  <si>
    <t xml:space="preserve">1-yr list ACV ($) — for commissions</t>
  </si>
  <si>
    <t xml:space="preserve">CA-style</t>
  </si>
  <si>
    <t xml:space="preserve">Students / customer (avg)</t>
  </si>
  <si>
    <t xml:space="preserve">cohort size</t>
  </si>
  <si>
    <t xml:space="preserve">Tutor API cost / student / yr ($)</t>
  </si>
  <si>
    <t xml:space="preserve">Anthropic usage</t>
  </si>
  <si>
    <t xml:space="preserve">Fixed infrastructure / yr ($)</t>
  </si>
  <si>
    <t xml:space="preserve">see Infrastructure tab</t>
  </si>
  <si>
    <t xml:space="preserve">Commission MOST / LESS / LEAST (%)</t>
  </si>
  <si>
    <t xml:space="preserve">yr1 / yr2 / yr3 of deal</t>
  </si>
  <si>
    <t xml:space="preserve">20%/10%/5%</t>
  </si>
  <si>
    <t xml:space="preserve">MOST</t>
  </si>
  <si>
    <t xml:space="preserve">LESS</t>
  </si>
  <si>
    <t xml:space="preserve">LEAST</t>
  </si>
  <si>
    <t xml:space="preserve">LUKAS_APPS license (% of revenue)</t>
  </si>
  <si>
    <t xml:space="preserve">$0 until Y2, then on</t>
  </si>
  <si>
    <t xml:space="preserve">Legal / trademark / entity (one-time)</t>
  </si>
  <si>
    <t xml:space="preserve">Y1 setup</t>
  </si>
  <si>
    <t xml:space="preserve">CPA / admin / yr ($)</t>
  </si>
  <si>
    <t xml:space="preserve">Salaries / yr ($) — cashflow-gated</t>
  </si>
  <si>
    <t xml:space="preserve">starts when cash supports</t>
  </si>
  <si>
    <t xml:space="preserve">Marketing / PostMind / tools / yr ($)</t>
  </si>
  <si>
    <t xml:space="preserve">organic-led</t>
  </si>
  <si>
    <t xml:space="preserve">Operating reserve target ($)</t>
  </si>
  <si>
    <t xml:space="preserve">leave to operate</t>
  </si>
  <si>
    <t xml:space="preserve">Valuation multiple (x ARR)</t>
  </si>
  <si>
    <t xml:space="preserve">illustrative, early-stage</t>
  </si>
  <si>
    <t xml:space="preserve">PROFORMA P&amp;L  → cash to owners</t>
  </si>
  <si>
    <t xml:space="preserve">Line ($)</t>
  </si>
  <si>
    <t xml:space="preserve">Enterprise revenue</t>
  </si>
  <si>
    <t xml:space="preserve">  Tutor API (usage)</t>
  </si>
  <si>
    <t xml:space="preserve">  Fixed infrastructure</t>
  </si>
  <si>
    <t xml:space="preserve">Gross profit</t>
  </si>
  <si>
    <t xml:space="preserve">Gross margin %</t>
  </si>
  <si>
    <t xml:space="preserve">  Commissions (MOST/LESS/LEAST)</t>
  </si>
  <si>
    <t xml:space="preserve">  LUKAS_APPS license</t>
  </si>
  <si>
    <t xml:space="preserve">  Legal / TM / entity</t>
  </si>
  <si>
    <t xml:space="preserve">  CPA / admin</t>
  </si>
  <si>
    <t xml:space="preserve">  Salaries (cashflow-gated)</t>
  </si>
  <si>
    <t xml:space="preserve">  Marketing / tools</t>
  </si>
  <si>
    <t xml:space="preserve">Operating cash flow</t>
  </si>
  <si>
    <t xml:space="preserve">  less: reserve build to target</t>
  </si>
  <si>
    <t xml:space="preserve">Distributable to owners</t>
  </si>
  <si>
    <t xml:space="preserve">Cumulative distributed</t>
  </si>
  <si>
    <t xml:space="preserve">ARR (recurring revenue)</t>
  </si>
  <si>
    <t xml:space="preserve">Implied enterprise value (ARR×mult)</t>
  </si>
  <si>
    <t xml:space="preserve">Milestone markers</t>
  </si>
  <si>
    <t xml:space="preserve">Customer #1 = first BASD / VOTECH close (Y1) · #5 (Y2) · #12 (Y3) · #25 (Y4) · #50 (Y5)</t>
  </si>
  <si>
    <t xml:space="preserve">Amp Academy — what we ride for free today, and when it costs</t>
  </si>
  <si>
    <t xml:space="preserve">Honest-state for Reppy &amp; Longley: nothing is free forever. Here's each third-party service, its real market price, and the AA revenue mark where it flips from free to paid.</t>
  </si>
  <si>
    <t xml:space="preserve">Service</t>
  </si>
  <si>
    <t xml:space="preserve">What it does for AA</t>
  </si>
  <si>
    <t xml:space="preserve">Today</t>
  </si>
  <si>
    <t xml:space="preserve">Market price (paid)</t>
  </si>
  <si>
    <t xml:space="preserve">Flips to paid when…</t>
  </si>
  <si>
    <t xml:space="preserve">GitHub Pages</t>
  </si>
  <si>
    <t xml:space="preserve">Hosts the Campus + all course apps</t>
  </si>
  <si>
    <t xml:space="preserve">FREE (public repos)</t>
  </si>
  <si>
    <t xml:space="preserve">$0 (stays free)</t>
  </si>
  <si>
    <t xml:space="preserve">Effectively never at our scale (soft ~100GB bandwidth/mo)</t>
  </si>
  <si>
    <t xml:space="preserve">Cloudflare Workers</t>
  </si>
  <si>
    <t xml:space="preserve">Runs the AI tutor relay</t>
  </si>
  <si>
    <t xml:space="preserve">FREE (≤100k req/day)</t>
  </si>
  <si>
    <t xml:space="preserve">$5/mo (Workers Paid)</t>
  </si>
  <si>
    <t xml:space="preserve">Daily tutor calls exceed ~100k — i.e., several thousand active students</t>
  </si>
  <si>
    <t xml:space="preserve">Supabase (edex)</t>
  </si>
  <si>
    <t xml:space="preserve">Roster, entitlement, certificates DB</t>
  </si>
  <si>
    <t xml:space="preserve">PRO $25/mo (already paying)</t>
  </si>
  <si>
    <t xml:space="preserve">$25/mo → $599/mo (Team)</t>
  </si>
  <si>
    <t xml:space="preserve">Team tier only at thousands of seats / org-level controls</t>
  </si>
  <si>
    <t xml:space="preserve">Anthropic API</t>
  </si>
  <si>
    <t xml:space="preserve">The tutor's brain (every Q&amp;A)</t>
  </si>
  <si>
    <t xml:space="preserve">Usage-based (pay per call)</t>
  </si>
  <si>
    <t xml:space="preserve">≈$0.003–0.01 / question</t>
  </si>
  <si>
    <t xml:space="preserve">Always usage — ≈$0.50/student/course; the price already covers it</t>
  </si>
  <si>
    <t xml:space="preserve">Email (auth/magic-link)</t>
  </si>
  <si>
    <t xml:space="preserve">Sign-in + notifications</t>
  </si>
  <si>
    <t xml:space="preserve">FREE tier</t>
  </si>
  <si>
    <t xml:space="preserve">≈$20/mo (e.g., Resend)</t>
  </si>
  <si>
    <t xml:space="preserve">Monthly signups exceed the free tier (a few thousand/mo)</t>
  </si>
  <si>
    <t xml:space="preserve">Domain (amp-academy.com)</t>
  </si>
  <si>
    <t xml:space="preserve">The front door</t>
  </si>
  <si>
    <t xml:space="preserve">Owned (Longley holds)</t>
  </si>
  <si>
    <t xml:space="preserve">≈$15/yr</t>
  </si>
  <si>
    <t xml:space="preserve">Already owned — annual renewal only</t>
  </si>
  <si>
    <t xml:space="preserve">Bottom line: AA's cost base is genuinely tiny and software-high-margin. The only cost that scales with use is the tutor API (~$0.50/student/course) — and pricing already covers it. Fixed SaaS stays under a few hundred $/yr until we're at thousands of seats.</t>
  </si>
  <si>
    <t xml:space="preserve">Amp Academy — Equity, vesting &amp; what each stake is worth</t>
  </si>
  <si>
    <t xml:space="preserve">Two scenarios, side by side · values illustrative (EV = ARR × multiple from Proforma tab)</t>
  </si>
  <si>
    <t xml:space="preserve">THE RULES (everyone, same)</t>
  </si>
  <si>
    <t xml:space="preserve">• Vesting starts month 1; nothing exercisable before month 13 (12-month cliff).</t>
  </si>
  <si>
    <t xml:space="preserve">• Leave before month 13 → total forfeiture. After month 13 → keep VESTED, forfeit UNVESTED (returns to pool); buy-back at fair value (good leaver) / lower-of-cost-or-FMV (bad leaver).</t>
  </si>
  <si>
    <t xml:space="preserve">• Vesting is milestone-EARNED: still working + pursuing deals + generating revenue + hitting defined goals. Full vest over 3 years.</t>
  </si>
  <si>
    <t xml:space="preserve">• Distributions: quarterly sweep to VESTED holders, pro-rata, after operating reserve + obligations + tax set-aside. Most cash to owners.</t>
  </si>
  <si>
    <t xml:space="preserve">SCENARIO A — HEADLINE: give more (LOCKED 2026-06-21)</t>
  </si>
  <si>
    <t xml:space="preserve">Holder</t>
  </si>
  <si>
    <t xml:space="preserve">Equity %</t>
  </si>
  <si>
    <t xml:space="preserve">Milestone to earn it</t>
  </si>
  <si>
    <t xml:space="preserve">Michael Lukas</t>
  </si>
  <si>
    <t xml:space="preserve">Tech + platform license + ongoing build (principal); 52% fully loaded</t>
  </si>
  <si>
    <t xml:space="preserve">Jim Repasch</t>
  </si>
  <si>
    <t xml:space="preserve">Customer #1 (BASD/VOTECH) → then #5 → #12 (tranches)</t>
  </si>
  <si>
    <t xml:space="preserve">Mike Longley</t>
  </si>
  <si>
    <t xml:space="preserve">SME content + relationships + his closes (tranches)</t>
  </si>
  <si>
    <t xml:space="preserve">Jimmy Christmas</t>
  </si>
  <si>
    <t xml:space="preserve">IBEW deals he closes (up to 3% over 3 yrs)</t>
  </si>
  <si>
    <t xml:space="preserve">Total</t>
  </si>
  <si>
    <t xml:space="preserve">SCENARIO B — Egalitarian (30/30/30)</t>
  </si>
  <si>
    <t xml:space="preserve">Tech + platform license + ongoing build (founder)</t>
  </si>
  <si>
    <t xml:space="preserve">WHAT EACH STAKE IS WORTH  (fully-vested basis; EV from Proforma)</t>
  </si>
  <si>
    <t xml:space="preserve">Holder / scenario</t>
  </si>
  <si>
    <t xml:space="preserve">Scenario A — equity value</t>
  </si>
  <si>
    <t xml:space="preserve">Michael</t>
  </si>
  <si>
    <t xml:space="preserve">Repasch</t>
  </si>
  <si>
    <t xml:space="preserve">Longley</t>
  </si>
  <si>
    <t xml:space="preserve">Jimmy</t>
  </si>
  <si>
    <t xml:space="preserve">Scenario B — equity value</t>
  </si>
  <si>
    <t xml:space="preserve">CUMULATIVE CASH TO OWNERS  (the distribution sweep)</t>
  </si>
  <si>
    <t xml:space="preserve">Scenario A — cash</t>
  </si>
  <si>
    <t xml:space="preserve">Scenario B — cash</t>
  </si>
  <si>
    <t xml:space="preserve">Plus: whoever closes a deal also earns commission (MOST/LESS/LEAST) — separate from equity. See Proforma 'Commissions' line.</t>
  </si>
  <si>
    <t xml:space="preserve">STRATEGIC GRANTS (contingent — from the principal's share; founders NOT diluted)</t>
  </si>
  <si>
    <t xml:space="preserve">Contingent holder</t>
  </si>
  <si>
    <t xml:space="preserve">Mike Holt — CCO (if he joins + introduces us)</t>
  </si>
  <si>
    <t xml:space="preserve">Perry — advisory (optional)</t>
  </si>
  <si>
    <t xml:space="preserve">Michael — fully loaded (if both granted)</t>
  </si>
  <si>
    <t xml:space="preserve">Holt as CCO would be transformational (~$10M/yr voice). Grants are OPTIONS, not commitments; Michael stays principal/majority.</t>
  </si>
  <si>
    <t xml:space="preserve">Amp Academy — the Exit &amp; the $1M-each goal</t>
  </si>
  <si>
    <t xml:space="preserve">Owner's goal: net ~$1,000,000 EACH to Repasch &amp; Longley at a sale. The tiny-acceptance floor (Y5: $200k ARR, $600k EV) is PROOF OF LIFE — not the payday. The payday is a strategic roll-up after SCALING (Holt + more cohorts). Pre-tax, illustrative, not advice.</t>
  </si>
  <si>
    <t xml:space="preserve">1) SENSITIVITY — net proceeds to ONE partner (= exit value × their %)</t>
  </si>
  <si>
    <t xml:space="preserve">Exit valuation ↓  /  equity % →</t>
  </si>
  <si>
    <t xml:space="preserve">≈ $1M each lands around: 16% at ~$6.25M (KEEPS Michael's 52% majority) · 20% at $5M (Michael falls to 44% fully loaded — loses control) · 15% at ~$6.7M.</t>
  </si>
  <si>
    <t xml:space="preserve">2) HOW BIG IT MUST GET — required ARR for each exit (and cohorts @ $4k)</t>
  </si>
  <si>
    <t xml:space="preserve">Exit valuation</t>
  </si>
  <si>
    <t xml:space="preserve">ARR @ 3.0x</t>
  </si>
  <si>
    <t xml:space="preserve">ARR @ 4.0x</t>
  </si>
  <si>
    <t xml:space="preserve">ARR @ 5.0x</t>
  </si>
  <si>
    <t xml:space="preserve">Cohorts @4x ($4k each)</t>
  </si>
  <si>
    <t xml:space="preserve">Reality check: $5M exit ≈ $1.25M ARR ≈ ~310 cohorts (or far fewer big-district deals). That's the Holt-powered growth case — well above the tiny-acceptance floor.</t>
  </si>
  <si>
    <t xml:space="preserve">3) THE 'GIVE MORE' SPLIT — take at a target exit</t>
  </si>
  <si>
    <t xml:space="preserve">Target exit value ($) — edit me</t>
  </si>
  <si>
    <t xml:space="preserve">Net at target exit</t>
  </si>
  <si>
    <t xml:space="preserve">Michael Lukas (principal, fully loaded)</t>
  </si>
  <si>
    <t xml:space="preserve">Mike Holt — CCO (if he joins)</t>
  </si>
  <si>
    <t xml:space="preserve">Perry (optional)</t>
  </si>
  <si>
    <t xml:space="preserve">At a $6.25M exit: Repasch &amp; Longley net ~$1.0M EACH; Michael ~$3.25M and KEEPS his 52% majority; Holt $625k; Jimmy/Perry $187k. All milestone-earned — nobody rides for free. Boys' slices come up to 16%; Holt/Perry come from Michael's share; Michael never drops below 51%.</t>
  </si>
  <si>
    <t xml:space="preserve">4) UNITS TO EXIT — how many to sell to sell Amp Academy outright</t>
  </si>
  <si>
    <t xml:space="preserve">Target exit value ($)</t>
  </si>
  <si>
    <t xml:space="preserve">Price per unit ($) — edit me</t>
  </si>
  <si>
    <t xml:space="preserve">Buyer pays (× revenue)</t>
  </si>
  <si>
    <t xml:space="preserve">Revenue needed</t>
  </si>
  <si>
    <t xml:space="preserve">Units @ price</t>
  </si>
  <si>
    <t xml:space="preserve">… @ $199/yr</t>
  </si>
  <si>
    <t xml:space="preserve">… cohorts @ $4k/yr</t>
  </si>
  <si>
    <t xml:space="preserve">Read it: at a rich 10× a buyer needs only ~$625k of revenue (~6,300 course sales OR ~156 cohorts); at a thrifty 2.5× they want ~$2.5M (~25,300 sales OR ~625 cohorts). Higher multiple = fewer units to the same $6.25M exit. Recurring (subscription/cohort) revenue earns the higher multiples.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</si>
</sst>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;&quot;($&quot;#,##0\);\-"/>
    <numFmt numFmtId="167" formatCode="\$#,##0.00"/>
    <numFmt numFmtId="168" formatCode="0.0%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02E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1"/>
      <color rgb="FF1620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.5"/>
      <color rgb="FF5A647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620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A93B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BEF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EC"/>
      </left>
      <right style="thin">
        <color rgb="FFD8E0EC"/>
      </right>
      <top style="thin">
        <color rgb="FFD8E0EC"/>
      </top>
      <bottom style="thin">
        <color rgb="FFD8E0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D6"/>
      <rgbColor rgb="FFCCFFFF"/>
      <rgbColor rgb="FF660066"/>
      <rgbColor rgb="FFFF8080"/>
      <rgbColor rgb="FF0066CC"/>
      <rgbColor rgb="FFD8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93B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5.0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3.85" hidden="false" customHeight="false" outlineLevel="0" collapsed="false">
      <c r="A8" s="5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5" t="s">
        <v>7</v>
      </c>
    </row>
    <row r="12" customFormat="false" ht="23.85" hidden="false" customHeight="false" outlineLevel="0" collapsed="false">
      <c r="A12" s="5" t="s">
        <v>8</v>
      </c>
    </row>
    <row r="13" customFormat="false" ht="23.8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5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6" t="s">
        <v>15</v>
      </c>
    </row>
    <row r="2" customFormat="false" ht="15" hidden="false" customHeight="false" outlineLevel="0" collapsed="false">
      <c r="A2" s="7" t="s">
        <v>16</v>
      </c>
    </row>
    <row r="4" customFormat="false" ht="15" hidden="false" customHeight="false" outlineLevel="0" collapsed="false">
      <c r="A4" s="8" t="s">
        <v>17</v>
      </c>
    </row>
    <row r="5" customFormat="false" ht="15" hidden="false" customHeight="false" outlineLevel="0" collapsed="false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9" t="s">
        <v>24</v>
      </c>
    </row>
    <row r="6" customFormat="false" ht="15" hidden="false" customHeight="false" outlineLevel="0" collapsed="false">
      <c r="A6" s="10" t="s">
        <v>25</v>
      </c>
      <c r="B6" s="11" t="s">
        <v>26</v>
      </c>
      <c r="C6" s="12" t="n">
        <v>1</v>
      </c>
      <c r="D6" s="12" t="n">
        <v>5</v>
      </c>
      <c r="E6" s="12" t="n">
        <v>12</v>
      </c>
      <c r="F6" s="12" t="n">
        <v>25</v>
      </c>
      <c r="G6" s="12" t="n">
        <v>50</v>
      </c>
    </row>
    <row r="7" customFormat="false" ht="15" hidden="false" customHeight="false" outlineLevel="0" collapsed="false">
      <c r="A7" s="10" t="s">
        <v>27</v>
      </c>
      <c r="B7" s="11" t="s">
        <v>28</v>
      </c>
      <c r="C7" s="13" t="n">
        <f aca="false">C6</f>
        <v>1</v>
      </c>
      <c r="D7" s="13" t="n">
        <f aca="false">D6-C6</f>
        <v>4</v>
      </c>
      <c r="E7" s="13" t="n">
        <f aca="false">E6-D6</f>
        <v>7</v>
      </c>
      <c r="F7" s="13" t="n">
        <f aca="false">F6-E6</f>
        <v>13</v>
      </c>
      <c r="G7" s="13" t="n">
        <f aca="false">G6-F6</f>
        <v>25</v>
      </c>
    </row>
    <row r="8" customFormat="false" ht="15" hidden="false" customHeight="false" outlineLevel="0" collapsed="false">
      <c r="A8" s="10" t="s">
        <v>29</v>
      </c>
      <c r="B8" s="11" t="s">
        <v>30</v>
      </c>
      <c r="C8" s="14" t="n">
        <v>4000</v>
      </c>
      <c r="D8" s="14" t="n">
        <v>4000</v>
      </c>
      <c r="E8" s="14" t="n">
        <v>4000</v>
      </c>
      <c r="F8" s="14" t="n">
        <v>4000</v>
      </c>
      <c r="G8" s="14" t="n">
        <v>4000</v>
      </c>
    </row>
    <row r="9" customFormat="false" ht="15" hidden="false" customHeight="false" outlineLevel="0" collapsed="false">
      <c r="A9" s="10" t="s">
        <v>31</v>
      </c>
      <c r="B9" s="11" t="s">
        <v>32</v>
      </c>
      <c r="C9" s="15" t="n">
        <v>4500</v>
      </c>
      <c r="D9" s="15" t="n">
        <v>4500</v>
      </c>
      <c r="E9" s="15" t="n">
        <v>4500</v>
      </c>
      <c r="F9" s="15" t="n">
        <v>4500</v>
      </c>
      <c r="G9" s="15" t="n">
        <v>4500</v>
      </c>
    </row>
    <row r="10" customFormat="false" ht="15" hidden="false" customHeight="false" outlineLevel="0" collapsed="false">
      <c r="A10" s="10" t="s">
        <v>33</v>
      </c>
      <c r="B10" s="11" t="s">
        <v>34</v>
      </c>
      <c r="C10" s="16" t="n">
        <v>25</v>
      </c>
      <c r="D10" s="16" t="n">
        <v>25</v>
      </c>
      <c r="E10" s="16" t="n">
        <v>25</v>
      </c>
      <c r="F10" s="16" t="n">
        <v>25</v>
      </c>
      <c r="G10" s="16" t="n">
        <v>25</v>
      </c>
    </row>
    <row r="11" customFormat="false" ht="15" hidden="false" customHeight="false" outlineLevel="0" collapsed="false">
      <c r="A11" s="10" t="s">
        <v>35</v>
      </c>
      <c r="B11" s="11" t="s">
        <v>36</v>
      </c>
      <c r="C11" s="17" t="n">
        <v>0.5</v>
      </c>
      <c r="D11" s="17" t="n">
        <v>0.5</v>
      </c>
      <c r="E11" s="17" t="n">
        <v>0.5</v>
      </c>
      <c r="F11" s="17" t="n">
        <v>0.5</v>
      </c>
      <c r="G11" s="17" t="n">
        <v>0.5</v>
      </c>
    </row>
    <row r="12" customFormat="false" ht="15" hidden="false" customHeight="false" outlineLevel="0" collapsed="false">
      <c r="A12" s="10" t="s">
        <v>37</v>
      </c>
      <c r="B12" s="11" t="s">
        <v>38</v>
      </c>
      <c r="C12" s="14" t="n">
        <v>600</v>
      </c>
      <c r="D12" s="14" t="n">
        <v>900</v>
      </c>
      <c r="E12" s="14" t="n">
        <v>1500</v>
      </c>
      <c r="F12" s="14" t="n">
        <v>3000</v>
      </c>
      <c r="G12" s="14" t="n">
        <v>6000</v>
      </c>
    </row>
    <row r="13" customFormat="false" ht="15" hidden="false" customHeight="false" outlineLevel="0" collapsed="false">
      <c r="A13" s="10" t="s">
        <v>39</v>
      </c>
      <c r="B13" s="11" t="s">
        <v>40</v>
      </c>
      <c r="C13" s="18" t="s">
        <v>41</v>
      </c>
      <c r="D13" s="18"/>
      <c r="E13" s="18"/>
      <c r="F13" s="18"/>
      <c r="G13" s="18"/>
      <c r="H13" s="11" t="s">
        <v>42</v>
      </c>
      <c r="I13" s="19" t="n">
        <v>0.2</v>
      </c>
    </row>
    <row r="14" customFormat="false" ht="15" hidden="false" customHeight="false" outlineLevel="0" collapsed="false">
      <c r="H14" s="11" t="s">
        <v>43</v>
      </c>
      <c r="I14" s="19" t="n">
        <v>0.1</v>
      </c>
    </row>
    <row r="15" customFormat="false" ht="15" hidden="false" customHeight="false" outlineLevel="0" collapsed="false">
      <c r="H15" s="11" t="s">
        <v>44</v>
      </c>
      <c r="I15" s="19" t="n">
        <v>0.05</v>
      </c>
    </row>
    <row r="16" customFormat="false" ht="15" hidden="false" customHeight="false" outlineLevel="0" collapsed="false">
      <c r="A16" s="10" t="s">
        <v>45</v>
      </c>
      <c r="B16" s="11" t="s">
        <v>46</v>
      </c>
      <c r="C16" s="20" t="n">
        <v>0</v>
      </c>
      <c r="D16" s="20" t="n">
        <v>0.1</v>
      </c>
      <c r="E16" s="20" t="n">
        <v>0.1</v>
      </c>
      <c r="F16" s="20" t="n">
        <v>0.1</v>
      </c>
      <c r="G16" s="20" t="n">
        <v>0.1</v>
      </c>
    </row>
    <row r="17" customFormat="false" ht="15" hidden="false" customHeight="false" outlineLevel="0" collapsed="false">
      <c r="A17" s="10" t="s">
        <v>47</v>
      </c>
      <c r="B17" s="11" t="s">
        <v>48</v>
      </c>
      <c r="C17" s="15" t="n">
        <v>6000</v>
      </c>
      <c r="D17" s="15" t="n">
        <v>0</v>
      </c>
      <c r="E17" s="15" t="n">
        <v>0</v>
      </c>
      <c r="F17" s="15" t="n">
        <v>0</v>
      </c>
      <c r="G17" s="15" t="n">
        <v>0</v>
      </c>
    </row>
    <row r="18" customFormat="false" ht="15" hidden="false" customHeight="false" outlineLevel="0" collapsed="false">
      <c r="A18" s="10" t="s">
        <v>49</v>
      </c>
      <c r="B18" s="11"/>
      <c r="C18" s="15" t="n">
        <v>1500</v>
      </c>
      <c r="D18" s="15" t="n">
        <v>1500</v>
      </c>
      <c r="E18" s="15" t="n">
        <v>2000</v>
      </c>
      <c r="F18" s="15" t="n">
        <v>2500</v>
      </c>
      <c r="G18" s="15" t="n">
        <v>3000</v>
      </c>
    </row>
    <row r="19" customFormat="false" ht="15" hidden="false" customHeight="false" outlineLevel="0" collapsed="false">
      <c r="A19" s="10" t="s">
        <v>50</v>
      </c>
      <c r="B19" s="11" t="s">
        <v>51</v>
      </c>
      <c r="C19" s="14" t="n">
        <v>0</v>
      </c>
      <c r="D19" s="14" t="n">
        <v>0</v>
      </c>
      <c r="E19" s="14" t="n">
        <v>18000</v>
      </c>
      <c r="F19" s="14" t="n">
        <v>48000</v>
      </c>
      <c r="G19" s="14" t="n">
        <v>90000</v>
      </c>
    </row>
    <row r="20" customFormat="false" ht="15" hidden="false" customHeight="false" outlineLevel="0" collapsed="false">
      <c r="A20" s="10" t="s">
        <v>52</v>
      </c>
      <c r="B20" s="11" t="s">
        <v>53</v>
      </c>
      <c r="C20" s="15" t="n">
        <v>1200</v>
      </c>
      <c r="D20" s="15" t="n">
        <v>2400</v>
      </c>
      <c r="E20" s="15" t="n">
        <v>4800</v>
      </c>
      <c r="F20" s="15" t="n">
        <v>7200</v>
      </c>
      <c r="G20" s="15" t="n">
        <v>9600</v>
      </c>
    </row>
    <row r="21" customFormat="false" ht="15" hidden="false" customHeight="false" outlineLevel="0" collapsed="false">
      <c r="A21" s="10" t="s">
        <v>54</v>
      </c>
      <c r="B21" s="11" t="s">
        <v>55</v>
      </c>
      <c r="C21" s="14" t="n">
        <v>5000</v>
      </c>
      <c r="D21" s="14" t="n">
        <v>8000</v>
      </c>
      <c r="E21" s="14" t="n">
        <v>12000</v>
      </c>
      <c r="F21" s="14" t="n">
        <v>18000</v>
      </c>
      <c r="G21" s="14" t="n">
        <v>25000</v>
      </c>
    </row>
    <row r="22" customFormat="false" ht="15" hidden="false" customHeight="false" outlineLevel="0" collapsed="false">
      <c r="A22" s="10" t="s">
        <v>56</v>
      </c>
      <c r="B22" s="11" t="s">
        <v>57</v>
      </c>
      <c r="C22" s="21" t="n">
        <v>3</v>
      </c>
      <c r="D22" s="21" t="n">
        <v>3</v>
      </c>
      <c r="E22" s="21" t="n">
        <v>3</v>
      </c>
      <c r="F22" s="21" t="n">
        <v>3</v>
      </c>
      <c r="G22" s="21" t="n">
        <v>3</v>
      </c>
    </row>
    <row r="24" customFormat="false" ht="15" hidden="false" customHeight="false" outlineLevel="0" collapsed="false">
      <c r="A24" s="8" t="s">
        <v>58</v>
      </c>
    </row>
    <row r="25" customFormat="false" ht="15" hidden="false" customHeight="false" outlineLevel="0" collapsed="false">
      <c r="A25" s="9" t="s">
        <v>59</v>
      </c>
      <c r="B25" s="9"/>
      <c r="C25" s="9" t="s">
        <v>20</v>
      </c>
      <c r="D25" s="9" t="s">
        <v>21</v>
      </c>
      <c r="E25" s="9" t="s">
        <v>22</v>
      </c>
      <c r="F25" s="9" t="s">
        <v>23</v>
      </c>
      <c r="G25" s="9" t="s">
        <v>24</v>
      </c>
    </row>
    <row r="26" customFormat="false" ht="15" hidden="false" customHeight="false" outlineLevel="0" collapsed="false">
      <c r="A26" s="22" t="s">
        <v>60</v>
      </c>
      <c r="C26" s="23" t="n">
        <f aca="false">C6*C8</f>
        <v>4000</v>
      </c>
      <c r="D26" s="23" t="n">
        <f aca="false">D6*D8</f>
        <v>20000</v>
      </c>
      <c r="E26" s="23" t="n">
        <f aca="false">E6*E8</f>
        <v>48000</v>
      </c>
      <c r="F26" s="23" t="n">
        <f aca="false">F6*F8</f>
        <v>100000</v>
      </c>
      <c r="G26" s="23" t="n">
        <f aca="false">G6*G8</f>
        <v>200000</v>
      </c>
    </row>
    <row r="27" customFormat="false" ht="15" hidden="false" customHeight="false" outlineLevel="0" collapsed="false">
      <c r="A27" s="10" t="s">
        <v>61</v>
      </c>
      <c r="C27" s="24" t="n">
        <f aca="false">-C6*C10*C11</f>
        <v>-12.5</v>
      </c>
      <c r="D27" s="24" t="n">
        <f aca="false">-D6*D10*D11</f>
        <v>-62.5</v>
      </c>
      <c r="E27" s="24" t="n">
        <f aca="false">-E6*E10*E11</f>
        <v>-150</v>
      </c>
      <c r="F27" s="24" t="n">
        <f aca="false">-F6*F10*F11</f>
        <v>-312.5</v>
      </c>
      <c r="G27" s="24" t="n">
        <f aca="false">-G6*G10*G11</f>
        <v>-625</v>
      </c>
    </row>
    <row r="28" customFormat="false" ht="15" hidden="false" customHeight="false" outlineLevel="0" collapsed="false">
      <c r="A28" s="10" t="s">
        <v>62</v>
      </c>
      <c r="C28" s="24" t="n">
        <f aca="false">-C12</f>
        <v>-600</v>
      </c>
      <c r="D28" s="24" t="n">
        <f aca="false">-D12</f>
        <v>-900</v>
      </c>
      <c r="E28" s="24" t="n">
        <f aca="false">-E12</f>
        <v>-1500</v>
      </c>
      <c r="F28" s="24" t="n">
        <f aca="false">-F12</f>
        <v>-3000</v>
      </c>
      <c r="G28" s="24" t="n">
        <f aca="false">-G12</f>
        <v>-6000</v>
      </c>
    </row>
    <row r="29" customFormat="false" ht="15" hidden="false" customHeight="false" outlineLevel="0" collapsed="false">
      <c r="A29" s="22" t="s">
        <v>63</v>
      </c>
      <c r="C29" s="23" t="n">
        <f aca="false">C26+C27+C28</f>
        <v>3387.5</v>
      </c>
      <c r="D29" s="23" t="n">
        <f aca="false">D26+D27+D28</f>
        <v>19037.5</v>
      </c>
      <c r="E29" s="23" t="n">
        <f aca="false">E26+E27+E28</f>
        <v>46350</v>
      </c>
      <c r="F29" s="23" t="n">
        <f aca="false">F26+F27+F28</f>
        <v>96687.5</v>
      </c>
      <c r="G29" s="23" t="n">
        <f aca="false">G26+G27+G28</f>
        <v>193375</v>
      </c>
    </row>
    <row r="30" customFormat="false" ht="15" hidden="false" customHeight="false" outlineLevel="0" collapsed="false">
      <c r="A30" s="10" t="s">
        <v>64</v>
      </c>
      <c r="C30" s="25" t="n">
        <f aca="false">IF(C26=0,0,C29/C26)</f>
        <v>0.846875</v>
      </c>
      <c r="D30" s="25" t="n">
        <f aca="false">IF(D26=0,0,D29/D26)</f>
        <v>0.951875</v>
      </c>
      <c r="E30" s="25" t="n">
        <f aca="false">IF(E26=0,0,E29/E26)</f>
        <v>0.965625</v>
      </c>
      <c r="F30" s="25" t="n">
        <f aca="false">IF(F26=0,0,F29/F26)</f>
        <v>0.966875</v>
      </c>
      <c r="G30" s="25" t="n">
        <f aca="false">IF(G26=0,0,G29/G26)</f>
        <v>0.966875</v>
      </c>
    </row>
    <row r="31" customFormat="false" ht="15" hidden="false" customHeight="false" outlineLevel="0" collapsed="false">
      <c r="A31" s="10" t="s">
        <v>65</v>
      </c>
      <c r="C31" s="24" t="n">
        <f aca="false">-(C7*C9)*$I$13</f>
        <v>-900</v>
      </c>
      <c r="D31" s="24" t="n">
        <f aca="false">-(D7*D9)*$I$13-(C7*C9)*$I$14</f>
        <v>-4050</v>
      </c>
      <c r="E31" s="24" t="n">
        <f aca="false">-(E7*E9)*$I$13-(D7*D9)*$I$14-(C7*C9)*$I$15</f>
        <v>-8325</v>
      </c>
      <c r="F31" s="24" t="n">
        <f aca="false">-(F7*F9)*$I$13-(E7*E9)*$I$14-(D7*D9)*$I$15</f>
        <v>-15750</v>
      </c>
      <c r="G31" s="24" t="n">
        <f aca="false">-(G7*G9)*$I$13-(F7*F9)*$I$14-(E7*E9)*$I$15</f>
        <v>-29925</v>
      </c>
    </row>
    <row r="32" customFormat="false" ht="15" hidden="false" customHeight="false" outlineLevel="0" collapsed="false">
      <c r="A32" s="10" t="s">
        <v>66</v>
      </c>
      <c r="C32" s="24" t="n">
        <f aca="false">-C26*C16</f>
        <v>-0</v>
      </c>
      <c r="D32" s="24" t="n">
        <f aca="false">-D26*D16</f>
        <v>-2000</v>
      </c>
      <c r="E32" s="24" t="n">
        <f aca="false">-E26*E16</f>
        <v>-4800</v>
      </c>
      <c r="F32" s="24" t="n">
        <f aca="false">-F26*F16</f>
        <v>-10000</v>
      </c>
      <c r="G32" s="24" t="n">
        <f aca="false">-G26*G16</f>
        <v>-20000</v>
      </c>
    </row>
    <row r="33" customFormat="false" ht="15" hidden="false" customHeight="false" outlineLevel="0" collapsed="false">
      <c r="A33" s="10" t="s">
        <v>67</v>
      </c>
      <c r="C33" s="24" t="n">
        <f aca="false">-C17</f>
        <v>-6000</v>
      </c>
      <c r="D33" s="24" t="n">
        <f aca="false">-D17</f>
        <v>-0</v>
      </c>
      <c r="E33" s="24" t="n">
        <f aca="false">-E17</f>
        <v>-0</v>
      </c>
      <c r="F33" s="24" t="n">
        <f aca="false">-F17</f>
        <v>-0</v>
      </c>
      <c r="G33" s="24" t="n">
        <f aca="false">-G17</f>
        <v>-0</v>
      </c>
    </row>
    <row r="34" customFormat="false" ht="15" hidden="false" customHeight="false" outlineLevel="0" collapsed="false">
      <c r="A34" s="10" t="s">
        <v>68</v>
      </c>
      <c r="C34" s="24" t="n">
        <f aca="false">-C18</f>
        <v>-1500</v>
      </c>
      <c r="D34" s="24" t="n">
        <f aca="false">-D18</f>
        <v>-1500</v>
      </c>
      <c r="E34" s="24" t="n">
        <f aca="false">-E18</f>
        <v>-2000</v>
      </c>
      <c r="F34" s="24" t="n">
        <f aca="false">-F18</f>
        <v>-2500</v>
      </c>
      <c r="G34" s="24" t="n">
        <f aca="false">-G18</f>
        <v>-3000</v>
      </c>
    </row>
    <row r="35" customFormat="false" ht="15" hidden="false" customHeight="false" outlineLevel="0" collapsed="false">
      <c r="A35" s="10" t="s">
        <v>69</v>
      </c>
      <c r="C35" s="24" t="n">
        <f aca="false">-C19</f>
        <v>-0</v>
      </c>
      <c r="D35" s="24" t="n">
        <f aca="false">-D19</f>
        <v>-0</v>
      </c>
      <c r="E35" s="24" t="n">
        <f aca="false">-E19</f>
        <v>-18000</v>
      </c>
      <c r="F35" s="24" t="n">
        <f aca="false">-F19</f>
        <v>-48000</v>
      </c>
      <c r="G35" s="24" t="n">
        <f aca="false">-G19</f>
        <v>-90000</v>
      </c>
    </row>
    <row r="36" customFormat="false" ht="15" hidden="false" customHeight="false" outlineLevel="0" collapsed="false">
      <c r="A36" s="10" t="s">
        <v>70</v>
      </c>
      <c r="C36" s="24" t="n">
        <f aca="false">-C20</f>
        <v>-1200</v>
      </c>
      <c r="D36" s="24" t="n">
        <f aca="false">-D20</f>
        <v>-2400</v>
      </c>
      <c r="E36" s="24" t="n">
        <f aca="false">-E20</f>
        <v>-4800</v>
      </c>
      <c r="F36" s="24" t="n">
        <f aca="false">-F20</f>
        <v>-7200</v>
      </c>
      <c r="G36" s="24" t="n">
        <f aca="false">-G20</f>
        <v>-9600</v>
      </c>
    </row>
    <row r="37" customFormat="false" ht="15" hidden="false" customHeight="false" outlineLevel="0" collapsed="false">
      <c r="A37" s="22" t="s">
        <v>71</v>
      </c>
      <c r="C37" s="23" t="n">
        <f aca="false">C29+C31+C32+C33+C34+C35+C36</f>
        <v>-6212.5</v>
      </c>
      <c r="D37" s="23" t="n">
        <f aca="false">D29+D31+D32+D33+D34+D35+D36</f>
        <v>9087.5</v>
      </c>
      <c r="E37" s="23" t="n">
        <f aca="false">E29+E31+E32+E33+E34+E35+E36</f>
        <v>8425</v>
      </c>
      <c r="F37" s="23" t="n">
        <f aca="false">F29+F31+F32+F33+F34+F35+F36</f>
        <v>13237.5</v>
      </c>
      <c r="G37" s="23" t="n">
        <f aca="false">G29+G31+G32+G33+G34+G35+G36</f>
        <v>40850</v>
      </c>
    </row>
    <row r="38" customFormat="false" ht="15" hidden="false" customHeight="false" outlineLevel="0" collapsed="false">
      <c r="A38" s="10" t="s">
        <v>72</v>
      </c>
      <c r="C38" s="24" t="n">
        <f aca="false">-C21</f>
        <v>-5000</v>
      </c>
      <c r="D38" s="24" t="n">
        <f aca="false">-(D21-C21)</f>
        <v>-3000</v>
      </c>
      <c r="E38" s="24" t="n">
        <f aca="false">-(E21-D21)</f>
        <v>-4000</v>
      </c>
      <c r="F38" s="24" t="n">
        <f aca="false">-(F21-E21)</f>
        <v>-6000</v>
      </c>
      <c r="G38" s="24" t="n">
        <f aca="false">-(G21-F21)</f>
        <v>-7000</v>
      </c>
    </row>
    <row r="39" customFormat="false" ht="15" hidden="false" customHeight="false" outlineLevel="0" collapsed="false">
      <c r="A39" s="22" t="s">
        <v>73</v>
      </c>
      <c r="C39" s="23" t="n">
        <f aca="false">MAX(0,C37+C38)</f>
        <v>0</v>
      </c>
      <c r="D39" s="23" t="n">
        <f aca="false">MAX(0,D37+D38)</f>
        <v>6087.5</v>
      </c>
      <c r="E39" s="23" t="n">
        <f aca="false">MAX(0,E37+E38)</f>
        <v>4425</v>
      </c>
      <c r="F39" s="23" t="n">
        <f aca="false">MAX(0,F37+F38)</f>
        <v>7237.5</v>
      </c>
      <c r="G39" s="23" t="n">
        <f aca="false">MAX(0,G37+G38)</f>
        <v>33850</v>
      </c>
    </row>
    <row r="40" customFormat="false" ht="15" hidden="false" customHeight="false" outlineLevel="0" collapsed="false">
      <c r="A40" s="10" t="s">
        <v>74</v>
      </c>
      <c r="C40" s="24" t="n">
        <f aca="false">C39</f>
        <v>0</v>
      </c>
      <c r="D40" s="24" t="n">
        <f aca="false">C40+D39</f>
        <v>6087.5</v>
      </c>
      <c r="E40" s="24" t="n">
        <f aca="false">D40+E39</f>
        <v>10512.5</v>
      </c>
      <c r="F40" s="24" t="n">
        <f aca="false">E40+F39</f>
        <v>17750</v>
      </c>
      <c r="G40" s="24" t="n">
        <f aca="false">F40+G39</f>
        <v>51600</v>
      </c>
    </row>
    <row r="41" customFormat="false" ht="15" hidden="false" customHeight="false" outlineLevel="0" collapsed="false">
      <c r="A41" s="10" t="s">
        <v>75</v>
      </c>
      <c r="C41" s="24" t="n">
        <f aca="false">C26</f>
        <v>4000</v>
      </c>
      <c r="D41" s="24" t="n">
        <f aca="false">D26</f>
        <v>20000</v>
      </c>
      <c r="E41" s="24" t="n">
        <f aca="false">E26</f>
        <v>48000</v>
      </c>
      <c r="F41" s="24" t="n">
        <f aca="false">F26</f>
        <v>100000</v>
      </c>
      <c r="G41" s="24" t="n">
        <f aca="false">G26</f>
        <v>200000</v>
      </c>
    </row>
    <row r="42" customFormat="false" ht="15" hidden="false" customHeight="false" outlineLevel="0" collapsed="false">
      <c r="A42" s="22" t="s">
        <v>76</v>
      </c>
      <c r="C42" s="23" t="n">
        <f aca="false">C41*C22</f>
        <v>12000</v>
      </c>
      <c r="D42" s="23" t="n">
        <f aca="false">D41*D22</f>
        <v>60000</v>
      </c>
      <c r="E42" s="23" t="n">
        <f aca="false">E41*E22</f>
        <v>144000</v>
      </c>
      <c r="F42" s="23" t="n">
        <f aca="false">F41*F22</f>
        <v>300000</v>
      </c>
      <c r="G42" s="23" t="n">
        <f aca="false">G41*G22</f>
        <v>600000</v>
      </c>
    </row>
    <row r="44" customFormat="false" ht="15" hidden="false" customHeight="false" outlineLevel="0" collapsed="false">
      <c r="A44" s="8" t="s">
        <v>77</v>
      </c>
    </row>
    <row r="45" customFormat="false" ht="15" hidden="false" customHeight="false" outlineLevel="0" collapsed="false">
      <c r="A45" s="1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6" t="s">
        <v>79</v>
      </c>
    </row>
    <row r="2" customFormat="false" ht="27.75" hidden="false" customHeight="true" outlineLevel="0" collapsed="false">
      <c r="A2" s="26" t="s">
        <v>80</v>
      </c>
    </row>
    <row r="4" customFormat="false" ht="15" hidden="false" customHeight="false" outlineLevel="0" collapsed="false">
      <c r="A4" s="27" t="s">
        <v>81</v>
      </c>
      <c r="B4" s="27" t="s">
        <v>82</v>
      </c>
      <c r="C4" s="27" t="s">
        <v>83</v>
      </c>
      <c r="D4" s="27" t="s">
        <v>84</v>
      </c>
      <c r="E4" s="27" t="s">
        <v>85</v>
      </c>
    </row>
    <row r="5" customFormat="false" ht="33.75" hidden="false" customHeight="true" outlineLevel="0" collapsed="false">
      <c r="A5" s="28" t="s">
        <v>86</v>
      </c>
      <c r="B5" s="28" t="s">
        <v>87</v>
      </c>
      <c r="C5" s="28" t="s">
        <v>88</v>
      </c>
      <c r="D5" s="28" t="s">
        <v>89</v>
      </c>
      <c r="E5" s="28" t="s">
        <v>90</v>
      </c>
    </row>
    <row r="6" customFormat="false" ht="33.75" hidden="false" customHeight="true" outlineLevel="0" collapsed="false">
      <c r="A6" s="28" t="s">
        <v>91</v>
      </c>
      <c r="B6" s="28" t="s">
        <v>92</v>
      </c>
      <c r="C6" s="28" t="s">
        <v>93</v>
      </c>
      <c r="D6" s="28" t="s">
        <v>94</v>
      </c>
      <c r="E6" s="28" t="s">
        <v>95</v>
      </c>
    </row>
    <row r="7" customFormat="false" ht="33.75" hidden="false" customHeight="true" outlineLevel="0" collapsed="false">
      <c r="A7" s="28" t="s">
        <v>96</v>
      </c>
      <c r="B7" s="28" t="s">
        <v>97</v>
      </c>
      <c r="C7" s="28" t="s">
        <v>98</v>
      </c>
      <c r="D7" s="28" t="s">
        <v>99</v>
      </c>
      <c r="E7" s="28" t="s">
        <v>100</v>
      </c>
    </row>
    <row r="8" customFormat="false" ht="33.75" hidden="false" customHeight="true" outlineLevel="0" collapsed="false">
      <c r="A8" s="28" t="s">
        <v>101</v>
      </c>
      <c r="B8" s="28" t="s">
        <v>102</v>
      </c>
      <c r="C8" s="28" t="s">
        <v>103</v>
      </c>
      <c r="D8" s="28" t="s">
        <v>104</v>
      </c>
      <c r="E8" s="28" t="s">
        <v>105</v>
      </c>
    </row>
    <row r="9" customFormat="false" ht="33.75" hidden="false" customHeight="true" outlineLevel="0" collapsed="false">
      <c r="A9" s="28" t="s">
        <v>106</v>
      </c>
      <c r="B9" s="28" t="s">
        <v>107</v>
      </c>
      <c r="C9" s="28" t="s">
        <v>108</v>
      </c>
      <c r="D9" s="28" t="s">
        <v>109</v>
      </c>
      <c r="E9" s="28" t="s">
        <v>110</v>
      </c>
    </row>
    <row r="10" customFormat="false" ht="33.75" hidden="false" customHeight="true" outlineLevel="0" collapsed="false">
      <c r="A10" s="28" t="s">
        <v>111</v>
      </c>
      <c r="B10" s="28" t="s">
        <v>112</v>
      </c>
      <c r="C10" s="28" t="s">
        <v>113</v>
      </c>
      <c r="D10" s="28" t="s">
        <v>114</v>
      </c>
      <c r="E10" s="28" t="s">
        <v>115</v>
      </c>
    </row>
    <row r="12" customFormat="false" ht="39.75" hidden="false" customHeight="true" outlineLevel="0" collapsed="false">
      <c r="A12" s="29" t="s">
        <v>116</v>
      </c>
      <c r="B12" s="29"/>
      <c r="C12" s="29"/>
      <c r="D12" s="29"/>
      <c r="E12" s="29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6" t="s">
        <v>117</v>
      </c>
    </row>
    <row r="2" customFormat="false" ht="15" hidden="false" customHeight="false" outlineLevel="0" collapsed="false">
      <c r="A2" s="7" t="s">
        <v>118</v>
      </c>
    </row>
    <row r="4" customFormat="false" ht="15" hidden="false" customHeight="false" outlineLevel="0" collapsed="false">
      <c r="A4" s="8" t="s">
        <v>119</v>
      </c>
    </row>
    <row r="5" customFormat="false" ht="27.75" hidden="false" customHeight="true" outlineLevel="0" collapsed="false">
      <c r="A5" s="30" t="s">
        <v>120</v>
      </c>
      <c r="B5" s="30"/>
      <c r="C5" s="30"/>
      <c r="D5" s="30"/>
      <c r="E5" s="30"/>
      <c r="F5" s="30"/>
      <c r="G5" s="30"/>
    </row>
    <row r="6" customFormat="false" ht="27.75" hidden="false" customHeight="true" outlineLevel="0" collapsed="false">
      <c r="A6" s="30" t="s">
        <v>121</v>
      </c>
      <c r="B6" s="30"/>
      <c r="C6" s="30"/>
      <c r="D6" s="30"/>
      <c r="E6" s="30"/>
      <c r="F6" s="30"/>
      <c r="G6" s="30"/>
    </row>
    <row r="7" customFormat="false" ht="27.75" hidden="false" customHeight="true" outlineLevel="0" collapsed="false">
      <c r="A7" s="30" t="s">
        <v>122</v>
      </c>
      <c r="B7" s="30"/>
      <c r="C7" s="30"/>
      <c r="D7" s="30"/>
      <c r="E7" s="30"/>
      <c r="F7" s="30"/>
      <c r="G7" s="30"/>
    </row>
    <row r="8" customFormat="false" ht="27.75" hidden="false" customHeight="true" outlineLevel="0" collapsed="false">
      <c r="A8" s="30" t="s">
        <v>123</v>
      </c>
      <c r="B8" s="30"/>
      <c r="C8" s="30"/>
      <c r="D8" s="30"/>
      <c r="E8" s="30"/>
      <c r="F8" s="30"/>
      <c r="G8" s="30"/>
    </row>
    <row r="11" customFormat="false" ht="15" hidden="false" customHeight="false" outlineLevel="0" collapsed="false">
      <c r="A11" s="8" t="s">
        <v>124</v>
      </c>
    </row>
    <row r="12" customFormat="false" ht="15" hidden="false" customHeight="false" outlineLevel="0" collapsed="false">
      <c r="A12" s="31" t="s">
        <v>125</v>
      </c>
      <c r="B12" s="31" t="s">
        <v>126</v>
      </c>
      <c r="C12" s="31" t="s">
        <v>127</v>
      </c>
    </row>
    <row r="13" customFormat="false" ht="15" hidden="false" customHeight="false" outlineLevel="0" collapsed="false">
      <c r="A13" s="10" t="s">
        <v>128</v>
      </c>
      <c r="B13" s="19" t="n">
        <v>0.65</v>
      </c>
      <c r="C13" s="11" t="s">
        <v>129</v>
      </c>
    </row>
    <row r="14" customFormat="false" ht="15" hidden="false" customHeight="false" outlineLevel="0" collapsed="false">
      <c r="A14" s="10" t="s">
        <v>130</v>
      </c>
      <c r="B14" s="19" t="n">
        <v>0.16</v>
      </c>
      <c r="C14" s="11" t="s">
        <v>131</v>
      </c>
    </row>
    <row r="15" customFormat="false" ht="15" hidden="false" customHeight="false" outlineLevel="0" collapsed="false">
      <c r="A15" s="10" t="s">
        <v>132</v>
      </c>
      <c r="B15" s="19" t="n">
        <v>0.16</v>
      </c>
      <c r="C15" s="11" t="s">
        <v>133</v>
      </c>
    </row>
    <row r="16" customFormat="false" ht="15" hidden="false" customHeight="false" outlineLevel="0" collapsed="false">
      <c r="A16" s="10" t="s">
        <v>134</v>
      </c>
      <c r="B16" s="19" t="n">
        <v>0.03</v>
      </c>
      <c r="C16" s="11" t="s">
        <v>135</v>
      </c>
    </row>
    <row r="17" customFormat="false" ht="15" hidden="false" customHeight="false" outlineLevel="0" collapsed="false">
      <c r="A17" s="22" t="s">
        <v>136</v>
      </c>
      <c r="B17" s="32" t="n">
        <f aca="false">SUM(B13:B16)</f>
        <v>1</v>
      </c>
    </row>
    <row r="19" customFormat="false" ht="15" hidden="false" customHeight="false" outlineLevel="0" collapsed="false">
      <c r="A19" s="8" t="s">
        <v>137</v>
      </c>
    </row>
    <row r="20" customFormat="false" ht="15" hidden="false" customHeight="false" outlineLevel="0" collapsed="false">
      <c r="A20" s="31" t="s">
        <v>125</v>
      </c>
      <c r="B20" s="31" t="s">
        <v>126</v>
      </c>
      <c r="C20" s="31" t="s">
        <v>127</v>
      </c>
    </row>
    <row r="21" customFormat="false" ht="15" hidden="false" customHeight="false" outlineLevel="0" collapsed="false">
      <c r="A21" s="10" t="s">
        <v>128</v>
      </c>
      <c r="B21" s="19" t="n">
        <v>0.37</v>
      </c>
      <c r="C21" s="11" t="s">
        <v>138</v>
      </c>
    </row>
    <row r="22" customFormat="false" ht="15" hidden="false" customHeight="false" outlineLevel="0" collapsed="false">
      <c r="A22" s="10" t="s">
        <v>130</v>
      </c>
      <c r="B22" s="19" t="n">
        <v>0.3</v>
      </c>
      <c r="C22" s="11" t="s">
        <v>131</v>
      </c>
    </row>
    <row r="23" customFormat="false" ht="15" hidden="false" customHeight="false" outlineLevel="0" collapsed="false">
      <c r="A23" s="10" t="s">
        <v>132</v>
      </c>
      <c r="B23" s="19" t="n">
        <v>0.3</v>
      </c>
      <c r="C23" s="11" t="s">
        <v>133</v>
      </c>
    </row>
    <row r="24" customFormat="false" ht="15" hidden="false" customHeight="false" outlineLevel="0" collapsed="false">
      <c r="A24" s="10" t="s">
        <v>134</v>
      </c>
      <c r="B24" s="19" t="n">
        <v>0.03</v>
      </c>
      <c r="C24" s="11" t="s">
        <v>135</v>
      </c>
    </row>
    <row r="25" customFormat="false" ht="15" hidden="false" customHeight="false" outlineLevel="0" collapsed="false">
      <c r="A25" s="22" t="s">
        <v>136</v>
      </c>
      <c r="B25" s="32" t="n">
        <f aca="false">SUM(B21:B24)</f>
        <v>1</v>
      </c>
    </row>
    <row r="28" customFormat="false" ht="15" hidden="false" customHeight="false" outlineLevel="0" collapsed="false">
      <c r="A28" s="8" t="s">
        <v>139</v>
      </c>
    </row>
    <row r="29" customFormat="false" ht="15" hidden="false" customHeight="false" outlineLevel="0" collapsed="false">
      <c r="A29" s="33" t="s">
        <v>140</v>
      </c>
      <c r="B29" s="33"/>
      <c r="C29" s="33" t="s">
        <v>20</v>
      </c>
      <c r="D29" s="33" t="s">
        <v>21</v>
      </c>
      <c r="E29" s="33" t="s">
        <v>22</v>
      </c>
      <c r="F29" s="33" t="s">
        <v>23</v>
      </c>
      <c r="G29" s="33" t="s">
        <v>24</v>
      </c>
    </row>
    <row r="30" customFormat="false" ht="15" hidden="false" customHeight="false" outlineLevel="0" collapsed="false">
      <c r="A30" s="22" t="s">
        <v>141</v>
      </c>
    </row>
    <row r="31" customFormat="false" ht="15" hidden="false" customHeight="false" outlineLevel="0" collapsed="false">
      <c r="A31" s="34" t="s">
        <v>142</v>
      </c>
      <c r="C31" s="35" t="n">
        <f aca="false">'Proforma (5-yr)'!C42*B13</f>
        <v>7800</v>
      </c>
      <c r="D31" s="35" t="n">
        <f aca="false">'Proforma (5-yr)'!D42*B13</f>
        <v>39000</v>
      </c>
      <c r="E31" s="35" t="n">
        <f aca="false">'Proforma (5-yr)'!E42*B13</f>
        <v>93600</v>
      </c>
      <c r="F31" s="35" t="n">
        <f aca="false">'Proforma (5-yr)'!F42*B13</f>
        <v>195000</v>
      </c>
      <c r="G31" s="35" t="n">
        <f aca="false">'Proforma (5-yr)'!G42*B13</f>
        <v>390000</v>
      </c>
    </row>
    <row r="32" customFormat="false" ht="15" hidden="false" customHeight="false" outlineLevel="0" collapsed="false">
      <c r="A32" s="34" t="s">
        <v>143</v>
      </c>
      <c r="C32" s="35" t="n">
        <f aca="false">'Proforma (5-yr)'!C42*B14</f>
        <v>1920</v>
      </c>
      <c r="D32" s="35" t="n">
        <f aca="false">'Proforma (5-yr)'!D42*B14</f>
        <v>9600</v>
      </c>
      <c r="E32" s="35" t="n">
        <f aca="false">'Proforma (5-yr)'!E42*B14</f>
        <v>23040</v>
      </c>
      <c r="F32" s="35" t="n">
        <f aca="false">'Proforma (5-yr)'!F42*B14</f>
        <v>48000</v>
      </c>
      <c r="G32" s="35" t="n">
        <f aca="false">'Proforma (5-yr)'!G42*B14</f>
        <v>96000</v>
      </c>
    </row>
    <row r="33" customFormat="false" ht="15" hidden="false" customHeight="false" outlineLevel="0" collapsed="false">
      <c r="A33" s="34" t="s">
        <v>144</v>
      </c>
      <c r="C33" s="35" t="n">
        <f aca="false">'Proforma (5-yr)'!C42*B15</f>
        <v>1920</v>
      </c>
      <c r="D33" s="35" t="n">
        <f aca="false">'Proforma (5-yr)'!D42*B15</f>
        <v>9600</v>
      </c>
      <c r="E33" s="35" t="n">
        <f aca="false">'Proforma (5-yr)'!E42*B15</f>
        <v>23040</v>
      </c>
      <c r="F33" s="35" t="n">
        <f aca="false">'Proforma (5-yr)'!F42*B15</f>
        <v>48000</v>
      </c>
      <c r="G33" s="35" t="n">
        <f aca="false">'Proforma (5-yr)'!G42*B15</f>
        <v>96000</v>
      </c>
    </row>
    <row r="34" customFormat="false" ht="15" hidden="false" customHeight="false" outlineLevel="0" collapsed="false">
      <c r="A34" s="34" t="s">
        <v>145</v>
      </c>
      <c r="C34" s="35" t="n">
        <f aca="false">'Proforma (5-yr)'!C42*B16</f>
        <v>360</v>
      </c>
      <c r="D34" s="35" t="n">
        <f aca="false">'Proforma (5-yr)'!D42*B16</f>
        <v>1800</v>
      </c>
      <c r="E34" s="35" t="n">
        <f aca="false">'Proforma (5-yr)'!E42*B16</f>
        <v>4320</v>
      </c>
      <c r="F34" s="35" t="n">
        <f aca="false">'Proforma (5-yr)'!F42*B16</f>
        <v>9000</v>
      </c>
      <c r="G34" s="35" t="n">
        <f aca="false">'Proforma (5-yr)'!G42*B16</f>
        <v>18000</v>
      </c>
    </row>
    <row r="35" customFormat="false" ht="15" hidden="false" customHeight="false" outlineLevel="0" collapsed="false">
      <c r="A35" s="22" t="s">
        <v>146</v>
      </c>
    </row>
    <row r="36" customFormat="false" ht="15" hidden="false" customHeight="false" outlineLevel="0" collapsed="false">
      <c r="A36" s="34" t="s">
        <v>142</v>
      </c>
      <c r="C36" s="35" t="n">
        <f aca="false">'Proforma (5-yr)'!C42*B21</f>
        <v>4440</v>
      </c>
      <c r="D36" s="35" t="n">
        <f aca="false">'Proforma (5-yr)'!D42*B21</f>
        <v>22200</v>
      </c>
      <c r="E36" s="35" t="n">
        <f aca="false">'Proforma (5-yr)'!E42*B21</f>
        <v>53280</v>
      </c>
      <c r="F36" s="35" t="n">
        <f aca="false">'Proforma (5-yr)'!F42*B21</f>
        <v>111000</v>
      </c>
      <c r="G36" s="35" t="n">
        <f aca="false">'Proforma (5-yr)'!G42*B21</f>
        <v>222000</v>
      </c>
    </row>
    <row r="37" customFormat="false" ht="15" hidden="false" customHeight="false" outlineLevel="0" collapsed="false">
      <c r="A37" s="34" t="s">
        <v>143</v>
      </c>
      <c r="C37" s="35" t="n">
        <f aca="false">'Proforma (5-yr)'!C42*B22</f>
        <v>3600</v>
      </c>
      <c r="D37" s="35" t="n">
        <f aca="false">'Proforma (5-yr)'!D42*B22</f>
        <v>18000</v>
      </c>
      <c r="E37" s="35" t="n">
        <f aca="false">'Proforma (5-yr)'!E42*B22</f>
        <v>43200</v>
      </c>
      <c r="F37" s="35" t="n">
        <f aca="false">'Proforma (5-yr)'!F42*B22</f>
        <v>90000</v>
      </c>
      <c r="G37" s="35" t="n">
        <f aca="false">'Proforma (5-yr)'!G42*B22</f>
        <v>180000</v>
      </c>
    </row>
    <row r="38" customFormat="false" ht="15" hidden="false" customHeight="false" outlineLevel="0" collapsed="false">
      <c r="A38" s="34" t="s">
        <v>144</v>
      </c>
      <c r="C38" s="35" t="n">
        <f aca="false">'Proforma (5-yr)'!C42*B23</f>
        <v>3600</v>
      </c>
      <c r="D38" s="35" t="n">
        <f aca="false">'Proforma (5-yr)'!D42*B23</f>
        <v>18000</v>
      </c>
      <c r="E38" s="35" t="n">
        <f aca="false">'Proforma (5-yr)'!E42*B23</f>
        <v>43200</v>
      </c>
      <c r="F38" s="35" t="n">
        <f aca="false">'Proforma (5-yr)'!F42*B23</f>
        <v>90000</v>
      </c>
      <c r="G38" s="35" t="n">
        <f aca="false">'Proforma (5-yr)'!G42*B23</f>
        <v>180000</v>
      </c>
    </row>
    <row r="39" customFormat="false" ht="15" hidden="false" customHeight="false" outlineLevel="0" collapsed="false">
      <c r="A39" s="34" t="s">
        <v>145</v>
      </c>
      <c r="C39" s="35" t="n">
        <f aca="false">'Proforma (5-yr)'!C42*B24</f>
        <v>360</v>
      </c>
      <c r="D39" s="35" t="n">
        <f aca="false">'Proforma (5-yr)'!D42*B24</f>
        <v>1800</v>
      </c>
      <c r="E39" s="35" t="n">
        <f aca="false">'Proforma (5-yr)'!E42*B24</f>
        <v>4320</v>
      </c>
      <c r="F39" s="35" t="n">
        <f aca="false">'Proforma (5-yr)'!F42*B24</f>
        <v>9000</v>
      </c>
      <c r="G39" s="35" t="n">
        <f aca="false">'Proforma (5-yr)'!G42*B24</f>
        <v>18000</v>
      </c>
    </row>
    <row r="41" customFormat="false" ht="15" hidden="false" customHeight="false" outlineLevel="0" collapsed="false">
      <c r="A41" s="8" t="s">
        <v>147</v>
      </c>
    </row>
    <row r="42" customFormat="false" ht="15" hidden="false" customHeight="false" outlineLevel="0" collapsed="false">
      <c r="A42" s="33" t="s">
        <v>140</v>
      </c>
      <c r="B42" s="33"/>
      <c r="C42" s="33" t="s">
        <v>20</v>
      </c>
      <c r="D42" s="33" t="s">
        <v>21</v>
      </c>
      <c r="E42" s="33" t="s">
        <v>22</v>
      </c>
      <c r="F42" s="33" t="s">
        <v>23</v>
      </c>
      <c r="G42" s="33" t="s">
        <v>24</v>
      </c>
    </row>
    <row r="43" customFormat="false" ht="15" hidden="false" customHeight="false" outlineLevel="0" collapsed="false">
      <c r="A43" s="22" t="s">
        <v>148</v>
      </c>
    </row>
    <row r="44" customFormat="false" ht="15" hidden="false" customHeight="false" outlineLevel="0" collapsed="false">
      <c r="A44" s="34" t="s">
        <v>142</v>
      </c>
      <c r="C44" s="35" t="n">
        <f aca="false">'Proforma (5-yr)'!C40*B13</f>
        <v>0</v>
      </c>
      <c r="D44" s="35" t="n">
        <f aca="false">'Proforma (5-yr)'!D40*B13</f>
        <v>3956.875</v>
      </c>
      <c r="E44" s="35" t="n">
        <f aca="false">'Proforma (5-yr)'!E40*B13</f>
        <v>6833.125</v>
      </c>
      <c r="F44" s="35" t="n">
        <f aca="false">'Proforma (5-yr)'!F40*B13</f>
        <v>11537.5</v>
      </c>
      <c r="G44" s="35" t="n">
        <f aca="false">'Proforma (5-yr)'!G40*B13</f>
        <v>33540</v>
      </c>
    </row>
    <row r="45" customFormat="false" ht="15" hidden="false" customHeight="false" outlineLevel="0" collapsed="false">
      <c r="A45" s="34" t="s">
        <v>143</v>
      </c>
      <c r="C45" s="35" t="n">
        <f aca="false">'Proforma (5-yr)'!C40*B14</f>
        <v>0</v>
      </c>
      <c r="D45" s="35" t="n">
        <f aca="false">'Proforma (5-yr)'!D40*B14</f>
        <v>974</v>
      </c>
      <c r="E45" s="35" t="n">
        <f aca="false">'Proforma (5-yr)'!E40*B14</f>
        <v>1682</v>
      </c>
      <c r="F45" s="35" t="n">
        <f aca="false">'Proforma (5-yr)'!F40*B14</f>
        <v>2840</v>
      </c>
      <c r="G45" s="35" t="n">
        <f aca="false">'Proforma (5-yr)'!G40*B14</f>
        <v>8256</v>
      </c>
    </row>
    <row r="46" customFormat="false" ht="15" hidden="false" customHeight="false" outlineLevel="0" collapsed="false">
      <c r="A46" s="34" t="s">
        <v>144</v>
      </c>
      <c r="C46" s="35" t="n">
        <f aca="false">'Proforma (5-yr)'!C40*B15</f>
        <v>0</v>
      </c>
      <c r="D46" s="35" t="n">
        <f aca="false">'Proforma (5-yr)'!D40*B15</f>
        <v>974</v>
      </c>
      <c r="E46" s="35" t="n">
        <f aca="false">'Proforma (5-yr)'!E40*B15</f>
        <v>1682</v>
      </c>
      <c r="F46" s="35" t="n">
        <f aca="false">'Proforma (5-yr)'!F40*B15</f>
        <v>2840</v>
      </c>
      <c r="G46" s="35" t="n">
        <f aca="false">'Proforma (5-yr)'!G40*B15</f>
        <v>8256</v>
      </c>
    </row>
    <row r="47" customFormat="false" ht="15" hidden="false" customHeight="false" outlineLevel="0" collapsed="false">
      <c r="A47" s="34" t="s">
        <v>145</v>
      </c>
      <c r="C47" s="35" t="n">
        <f aca="false">'Proforma (5-yr)'!C40*B16</f>
        <v>0</v>
      </c>
      <c r="D47" s="35" t="n">
        <f aca="false">'Proforma (5-yr)'!D40*B16</f>
        <v>182.625</v>
      </c>
      <c r="E47" s="35" t="n">
        <f aca="false">'Proforma (5-yr)'!E40*B16</f>
        <v>315.375</v>
      </c>
      <c r="F47" s="35" t="n">
        <f aca="false">'Proforma (5-yr)'!F40*B16</f>
        <v>532.5</v>
      </c>
      <c r="G47" s="35" t="n">
        <f aca="false">'Proforma (5-yr)'!G40*B16</f>
        <v>1548</v>
      </c>
    </row>
    <row r="48" customFormat="false" ht="15" hidden="false" customHeight="false" outlineLevel="0" collapsed="false">
      <c r="A48" s="22" t="s">
        <v>149</v>
      </c>
    </row>
    <row r="49" customFormat="false" ht="15" hidden="false" customHeight="false" outlineLevel="0" collapsed="false">
      <c r="A49" s="34" t="s">
        <v>142</v>
      </c>
      <c r="C49" s="35" t="n">
        <f aca="false">'Proforma (5-yr)'!C40*B21</f>
        <v>0</v>
      </c>
      <c r="D49" s="35" t="n">
        <f aca="false">'Proforma (5-yr)'!D40*B21</f>
        <v>2252.375</v>
      </c>
      <c r="E49" s="35" t="n">
        <f aca="false">'Proforma (5-yr)'!E40*B21</f>
        <v>3889.625</v>
      </c>
      <c r="F49" s="35" t="n">
        <f aca="false">'Proforma (5-yr)'!F40*B21</f>
        <v>6567.5</v>
      </c>
      <c r="G49" s="35" t="n">
        <f aca="false">'Proforma (5-yr)'!G40*B21</f>
        <v>19092</v>
      </c>
    </row>
    <row r="50" customFormat="false" ht="15" hidden="false" customHeight="false" outlineLevel="0" collapsed="false">
      <c r="A50" s="34" t="s">
        <v>143</v>
      </c>
      <c r="C50" s="35" t="n">
        <f aca="false">'Proforma (5-yr)'!C40*B22</f>
        <v>0</v>
      </c>
      <c r="D50" s="35" t="n">
        <f aca="false">'Proforma (5-yr)'!D40*B22</f>
        <v>1826.25</v>
      </c>
      <c r="E50" s="35" t="n">
        <f aca="false">'Proforma (5-yr)'!E40*B22</f>
        <v>3153.75</v>
      </c>
      <c r="F50" s="35" t="n">
        <f aca="false">'Proforma (5-yr)'!F40*B22</f>
        <v>5325</v>
      </c>
      <c r="G50" s="35" t="n">
        <f aca="false">'Proforma (5-yr)'!G40*B22</f>
        <v>15480</v>
      </c>
    </row>
    <row r="51" customFormat="false" ht="15" hidden="false" customHeight="false" outlineLevel="0" collapsed="false">
      <c r="A51" s="34" t="s">
        <v>144</v>
      </c>
      <c r="C51" s="35" t="n">
        <f aca="false">'Proforma (5-yr)'!C40*B23</f>
        <v>0</v>
      </c>
      <c r="D51" s="35" t="n">
        <f aca="false">'Proforma (5-yr)'!D40*B23</f>
        <v>1826.25</v>
      </c>
      <c r="E51" s="35" t="n">
        <f aca="false">'Proforma (5-yr)'!E40*B23</f>
        <v>3153.75</v>
      </c>
      <c r="F51" s="35" t="n">
        <f aca="false">'Proforma (5-yr)'!F40*B23</f>
        <v>5325</v>
      </c>
      <c r="G51" s="35" t="n">
        <f aca="false">'Proforma (5-yr)'!G40*B23</f>
        <v>15480</v>
      </c>
    </row>
    <row r="52" customFormat="false" ht="15" hidden="false" customHeight="false" outlineLevel="0" collapsed="false">
      <c r="A52" s="34" t="s">
        <v>145</v>
      </c>
      <c r="C52" s="35" t="n">
        <f aca="false">'Proforma (5-yr)'!C40*B24</f>
        <v>0</v>
      </c>
      <c r="D52" s="35" t="n">
        <f aca="false">'Proforma (5-yr)'!D40*B24</f>
        <v>182.625</v>
      </c>
      <c r="E52" s="35" t="n">
        <f aca="false">'Proforma (5-yr)'!E40*B24</f>
        <v>315.375</v>
      </c>
      <c r="F52" s="35" t="n">
        <f aca="false">'Proforma (5-yr)'!F40*B24</f>
        <v>532.5</v>
      </c>
      <c r="G52" s="35" t="n">
        <f aca="false">'Proforma (5-yr)'!G40*B24</f>
        <v>1548</v>
      </c>
    </row>
    <row r="54" customFormat="false" ht="15" hidden="false" customHeight="false" outlineLevel="0" collapsed="false">
      <c r="A54" s="36" t="s">
        <v>150</v>
      </c>
      <c r="B54" s="36"/>
      <c r="C54" s="36"/>
      <c r="D54" s="36"/>
      <c r="E54" s="36"/>
      <c r="F54" s="36"/>
      <c r="G54" s="36"/>
    </row>
    <row r="57" customFormat="false" ht="15" hidden="false" customHeight="false" outlineLevel="0" collapsed="false">
      <c r="A57" s="8" t="s">
        <v>151</v>
      </c>
    </row>
    <row r="58" customFormat="false" ht="15" hidden="false" customHeight="false" outlineLevel="0" collapsed="false">
      <c r="A58" s="33" t="s">
        <v>152</v>
      </c>
      <c r="B58" s="33" t="s">
        <v>126</v>
      </c>
      <c r="C58" s="33" t="s">
        <v>20</v>
      </c>
      <c r="D58" s="33" t="s">
        <v>21</v>
      </c>
      <c r="E58" s="33" t="s">
        <v>22</v>
      </c>
      <c r="F58" s="33" t="s">
        <v>23</v>
      </c>
      <c r="G58" s="33" t="s">
        <v>24</v>
      </c>
    </row>
    <row r="59" customFormat="false" ht="15" hidden="false" customHeight="false" outlineLevel="0" collapsed="false">
      <c r="A59" s="34" t="s">
        <v>153</v>
      </c>
      <c r="B59" s="19" t="n">
        <v>0.1</v>
      </c>
      <c r="C59" s="35" t="n">
        <f aca="false">'Proforma (5-yr)'!C42*B59</f>
        <v>1200</v>
      </c>
      <c r="D59" s="35" t="n">
        <f aca="false">'Proforma (5-yr)'!D42*B59</f>
        <v>6000</v>
      </c>
      <c r="E59" s="35" t="n">
        <f aca="false">'Proforma (5-yr)'!E42*B59</f>
        <v>14400</v>
      </c>
      <c r="F59" s="35" t="n">
        <f aca="false">'Proforma (5-yr)'!F42*B59</f>
        <v>30000</v>
      </c>
      <c r="G59" s="35" t="n">
        <f aca="false">'Proforma (5-yr)'!G42*B59</f>
        <v>60000</v>
      </c>
    </row>
    <row r="60" customFormat="false" ht="15" hidden="false" customHeight="false" outlineLevel="0" collapsed="false">
      <c r="A60" s="34" t="s">
        <v>154</v>
      </c>
      <c r="B60" s="19" t="n">
        <v>0.03</v>
      </c>
      <c r="C60" s="35" t="n">
        <f aca="false">'Proforma (5-yr)'!C42*B60</f>
        <v>360</v>
      </c>
      <c r="D60" s="35" t="n">
        <f aca="false">'Proforma (5-yr)'!D42*B60</f>
        <v>1800</v>
      </c>
      <c r="E60" s="35" t="n">
        <f aca="false">'Proforma (5-yr)'!E42*B60</f>
        <v>4320</v>
      </c>
      <c r="F60" s="35" t="n">
        <f aca="false">'Proforma (5-yr)'!F42*B60</f>
        <v>9000</v>
      </c>
      <c r="G60" s="35" t="n">
        <f aca="false">'Proforma (5-yr)'!G42*B60</f>
        <v>18000</v>
      </c>
    </row>
    <row r="61" customFormat="false" ht="15" hidden="false" customHeight="false" outlineLevel="0" collapsed="false">
      <c r="A61" s="34" t="s">
        <v>155</v>
      </c>
      <c r="B61" s="19" t="n">
        <v>0.52</v>
      </c>
      <c r="C61" s="35" t="n">
        <f aca="false">'Proforma (5-yr)'!C42*B61</f>
        <v>6240</v>
      </c>
      <c r="D61" s="35" t="n">
        <f aca="false">'Proforma (5-yr)'!D42*B61</f>
        <v>31200</v>
      </c>
      <c r="E61" s="35" t="n">
        <f aca="false">'Proforma (5-yr)'!E42*B61</f>
        <v>74880</v>
      </c>
      <c r="F61" s="35" t="n">
        <f aca="false">'Proforma (5-yr)'!F42*B61</f>
        <v>156000</v>
      </c>
      <c r="G61" s="35" t="n">
        <f aca="false">'Proforma (5-yr)'!G42*B61</f>
        <v>312000</v>
      </c>
    </row>
    <row r="62" customFormat="false" ht="15" hidden="false" customHeight="false" outlineLevel="0" collapsed="false">
      <c r="A62" s="36" t="s">
        <v>156</v>
      </c>
      <c r="B62" s="36"/>
      <c r="C62" s="36"/>
      <c r="D62" s="36"/>
      <c r="E62" s="36"/>
      <c r="F62" s="36"/>
      <c r="G62" s="36"/>
    </row>
  </sheetData>
  <mergeCells count="6">
    <mergeCell ref="A5:G5"/>
    <mergeCell ref="A6:G6"/>
    <mergeCell ref="A7:G7"/>
    <mergeCell ref="A8:G8"/>
    <mergeCell ref="A54:G54"/>
    <mergeCell ref="A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6" t="s">
        <v>157</v>
      </c>
    </row>
    <row r="2" customFormat="false" ht="43.5" hidden="false" customHeight="true" outlineLevel="0" collapsed="false">
      <c r="A2" s="37" t="s">
        <v>158</v>
      </c>
      <c r="B2" s="37"/>
      <c r="C2" s="37"/>
      <c r="D2" s="37"/>
      <c r="E2" s="37"/>
      <c r="F2" s="37"/>
    </row>
    <row r="4" customFormat="false" ht="15" hidden="false" customHeight="false" outlineLevel="0" collapsed="false">
      <c r="A4" s="8" t="s">
        <v>159</v>
      </c>
    </row>
    <row r="5" customFormat="false" ht="15" hidden="false" customHeight="false" outlineLevel="0" collapsed="false">
      <c r="A5" s="31" t="s">
        <v>160</v>
      </c>
      <c r="B5" s="38" t="n">
        <v>0.15</v>
      </c>
      <c r="C5" s="38" t="n">
        <v>0.2</v>
      </c>
      <c r="D5" s="38" t="n">
        <v>0.25</v>
      </c>
      <c r="E5" s="38" t="n">
        <v>0.3</v>
      </c>
    </row>
    <row r="6" customFormat="false" ht="15" hidden="false" customHeight="false" outlineLevel="0" collapsed="false">
      <c r="A6" s="39" t="n">
        <v>3000000</v>
      </c>
      <c r="B6" s="40" t="n">
        <f aca="false">$A6*B$5</f>
        <v>450000</v>
      </c>
      <c r="C6" s="40" t="n">
        <f aca="false">$A6*C$5</f>
        <v>600000</v>
      </c>
      <c r="D6" s="40" t="n">
        <f aca="false">$A6*D$5</f>
        <v>750000</v>
      </c>
      <c r="E6" s="40" t="n">
        <f aca="false">$A6*E$5</f>
        <v>900000</v>
      </c>
    </row>
    <row r="7" customFormat="false" ht="15" hidden="false" customHeight="false" outlineLevel="0" collapsed="false">
      <c r="A7" s="39" t="n">
        <v>4000000</v>
      </c>
      <c r="B7" s="40" t="n">
        <f aca="false">$A7*B$5</f>
        <v>600000</v>
      </c>
      <c r="C7" s="40" t="n">
        <f aca="false">$A7*C$5</f>
        <v>800000</v>
      </c>
      <c r="D7" s="40" t="n">
        <f aca="false">$A7*D$5</f>
        <v>1000000</v>
      </c>
      <c r="E7" s="40" t="n">
        <f aca="false">$A7*E$5</f>
        <v>1200000</v>
      </c>
    </row>
    <row r="8" customFormat="false" ht="15" hidden="false" customHeight="false" outlineLevel="0" collapsed="false">
      <c r="A8" s="39" t="n">
        <v>5000000</v>
      </c>
      <c r="B8" s="40" t="n">
        <f aca="false">$A8*B$5</f>
        <v>750000</v>
      </c>
      <c r="C8" s="40" t="n">
        <f aca="false">$A8*C$5</f>
        <v>1000000</v>
      </c>
      <c r="D8" s="40" t="n">
        <f aca="false">$A8*D$5</f>
        <v>1250000</v>
      </c>
      <c r="E8" s="40" t="n">
        <f aca="false">$A8*E$5</f>
        <v>1500000</v>
      </c>
    </row>
    <row r="9" customFormat="false" ht="15" hidden="false" customHeight="false" outlineLevel="0" collapsed="false">
      <c r="A9" s="39" t="n">
        <v>8000000</v>
      </c>
      <c r="B9" s="40" t="n">
        <f aca="false">$A9*B$5</f>
        <v>1200000</v>
      </c>
      <c r="C9" s="40" t="n">
        <f aca="false">$A9*C$5</f>
        <v>1600000</v>
      </c>
      <c r="D9" s="40" t="n">
        <f aca="false">$A9*D$5</f>
        <v>2000000</v>
      </c>
      <c r="E9" s="40" t="n">
        <f aca="false">$A9*E$5</f>
        <v>2400000</v>
      </c>
    </row>
    <row r="10" customFormat="false" ht="15" hidden="false" customHeight="false" outlineLevel="0" collapsed="false">
      <c r="A10" s="39" t="n">
        <v>12000000</v>
      </c>
      <c r="B10" s="40" t="n">
        <f aca="false">$A10*B$5</f>
        <v>1800000</v>
      </c>
      <c r="C10" s="40" t="n">
        <f aca="false">$A10*C$5</f>
        <v>2400000</v>
      </c>
      <c r="D10" s="40" t="n">
        <f aca="false">$A10*D$5</f>
        <v>3000000</v>
      </c>
      <c r="E10" s="40" t="n">
        <f aca="false">$A10*E$5</f>
        <v>3600000</v>
      </c>
    </row>
    <row r="11" customFormat="false" ht="15" hidden="false" customHeight="false" outlineLevel="0" collapsed="false">
      <c r="A11" s="39" t="n">
        <v>15000000</v>
      </c>
      <c r="B11" s="40" t="n">
        <f aca="false">$A11*B$5</f>
        <v>2250000</v>
      </c>
      <c r="C11" s="40" t="n">
        <f aca="false">$A11*C$5</f>
        <v>3000000</v>
      </c>
      <c r="D11" s="40" t="n">
        <f aca="false">$A11*D$5</f>
        <v>3750000</v>
      </c>
      <c r="E11" s="40" t="n">
        <f aca="false">$A11*E$5</f>
        <v>4500000</v>
      </c>
    </row>
    <row r="12" customFormat="false" ht="27.75" hidden="false" customHeight="true" outlineLevel="0" collapsed="false">
      <c r="A12" s="29" t="s">
        <v>161</v>
      </c>
      <c r="B12" s="29"/>
      <c r="C12" s="29"/>
      <c r="D12" s="29"/>
      <c r="E12" s="29"/>
      <c r="F12" s="29"/>
    </row>
    <row r="14" customFormat="false" ht="15" hidden="false" customHeight="false" outlineLevel="0" collapsed="false">
      <c r="A14" s="8" t="s">
        <v>162</v>
      </c>
    </row>
    <row r="15" customFormat="false" ht="26.85" hidden="false" customHeight="false" outlineLevel="0" collapsed="false">
      <c r="A15" s="41" t="s">
        <v>163</v>
      </c>
      <c r="B15" s="41" t="s">
        <v>164</v>
      </c>
      <c r="C15" s="41" t="s">
        <v>165</v>
      </c>
      <c r="D15" s="41" t="s">
        <v>166</v>
      </c>
      <c r="E15" s="41" t="s">
        <v>167</v>
      </c>
    </row>
    <row r="16" customFormat="false" ht="15" hidden="false" customHeight="false" outlineLevel="0" collapsed="false">
      <c r="A16" s="39" t="n">
        <v>3000000</v>
      </c>
      <c r="B16" s="40" t="n">
        <f aca="false">A16/3</f>
        <v>1000000</v>
      </c>
      <c r="C16" s="40" t="n">
        <f aca="false">A16/4</f>
        <v>750000</v>
      </c>
      <c r="D16" s="40" t="n">
        <f aca="false">A16/5</f>
        <v>600000</v>
      </c>
      <c r="E16" s="42" t="n">
        <f aca="false">C16/4000</f>
        <v>187.5</v>
      </c>
    </row>
    <row r="17" customFormat="false" ht="15" hidden="false" customHeight="false" outlineLevel="0" collapsed="false">
      <c r="A17" s="39" t="n">
        <v>5000000</v>
      </c>
      <c r="B17" s="40" t="n">
        <f aca="false">A17/3</f>
        <v>1666666.66666667</v>
      </c>
      <c r="C17" s="40" t="n">
        <f aca="false">A17/4</f>
        <v>1250000</v>
      </c>
      <c r="D17" s="40" t="n">
        <f aca="false">A17/5</f>
        <v>1000000</v>
      </c>
      <c r="E17" s="42" t="n">
        <f aca="false">C17/4000</f>
        <v>312.5</v>
      </c>
    </row>
    <row r="18" customFormat="false" ht="15" hidden="false" customHeight="false" outlineLevel="0" collapsed="false">
      <c r="A18" s="39" t="n">
        <v>8000000</v>
      </c>
      <c r="B18" s="40" t="n">
        <f aca="false">A18/3</f>
        <v>2666666.66666667</v>
      </c>
      <c r="C18" s="40" t="n">
        <f aca="false">A18/4</f>
        <v>2000000</v>
      </c>
      <c r="D18" s="40" t="n">
        <f aca="false">A18/5</f>
        <v>1600000</v>
      </c>
      <c r="E18" s="42" t="n">
        <f aca="false">C18/4000</f>
        <v>500</v>
      </c>
    </row>
    <row r="19" customFormat="false" ht="15" hidden="false" customHeight="false" outlineLevel="0" collapsed="false">
      <c r="A19" s="39" t="n">
        <v>12000000</v>
      </c>
      <c r="B19" s="40" t="n">
        <f aca="false">A19/3</f>
        <v>4000000</v>
      </c>
      <c r="C19" s="40" t="n">
        <f aca="false">A19/4</f>
        <v>3000000</v>
      </c>
      <c r="D19" s="40" t="n">
        <f aca="false">A19/5</f>
        <v>2400000</v>
      </c>
      <c r="E19" s="42" t="n">
        <f aca="false">C19/4000</f>
        <v>750</v>
      </c>
    </row>
    <row r="20" customFormat="false" ht="27.75" hidden="false" customHeight="true" outlineLevel="0" collapsed="false">
      <c r="A20" s="29" t="s">
        <v>168</v>
      </c>
      <c r="B20" s="29"/>
      <c r="C20" s="29"/>
      <c r="D20" s="29"/>
      <c r="E20" s="29"/>
      <c r="F20" s="29"/>
    </row>
    <row r="22" customFormat="false" ht="15" hidden="false" customHeight="false" outlineLevel="0" collapsed="false">
      <c r="A22" s="8" t="s">
        <v>169</v>
      </c>
    </row>
    <row r="23" customFormat="false" ht="15" hidden="false" customHeight="false" outlineLevel="0" collapsed="false">
      <c r="A23" s="10" t="s">
        <v>170</v>
      </c>
      <c r="B23" s="14" t="n">
        <v>6250000</v>
      </c>
    </row>
    <row r="24" customFormat="false" ht="15" hidden="false" customHeight="false" outlineLevel="0" collapsed="false">
      <c r="A24" s="31" t="s">
        <v>125</v>
      </c>
      <c r="B24" s="31" t="s">
        <v>126</v>
      </c>
      <c r="C24" s="31" t="s">
        <v>171</v>
      </c>
    </row>
    <row r="25" customFormat="false" ht="15" hidden="false" customHeight="false" outlineLevel="0" collapsed="false">
      <c r="A25" s="43" t="s">
        <v>172</v>
      </c>
      <c r="B25" s="44" t="n">
        <v>0.52</v>
      </c>
      <c r="C25" s="40" t="n">
        <f aca="false">B25*$B$23</f>
        <v>3250000</v>
      </c>
    </row>
    <row r="26" customFormat="false" ht="15" hidden="false" customHeight="false" outlineLevel="0" collapsed="false">
      <c r="A26" s="43" t="s">
        <v>130</v>
      </c>
      <c r="B26" s="44" t="n">
        <v>0.16</v>
      </c>
      <c r="C26" s="40" t="n">
        <f aca="false">B26*$B$23</f>
        <v>1000000</v>
      </c>
    </row>
    <row r="27" customFormat="false" ht="15" hidden="false" customHeight="false" outlineLevel="0" collapsed="false">
      <c r="A27" s="43" t="s">
        <v>132</v>
      </c>
      <c r="B27" s="44" t="n">
        <v>0.16</v>
      </c>
      <c r="C27" s="40" t="n">
        <f aca="false">B27*$B$23</f>
        <v>1000000</v>
      </c>
    </row>
    <row r="28" customFormat="false" ht="15" hidden="false" customHeight="false" outlineLevel="0" collapsed="false">
      <c r="A28" s="43" t="s">
        <v>173</v>
      </c>
      <c r="B28" s="44" t="n">
        <v>0.1</v>
      </c>
      <c r="C28" s="40" t="n">
        <f aca="false">B28*$B$23</f>
        <v>625000</v>
      </c>
    </row>
    <row r="29" customFormat="false" ht="15" hidden="false" customHeight="false" outlineLevel="0" collapsed="false">
      <c r="A29" s="43" t="s">
        <v>134</v>
      </c>
      <c r="B29" s="44" t="n">
        <v>0.03</v>
      </c>
      <c r="C29" s="40" t="n">
        <f aca="false">B29*$B$23</f>
        <v>187500</v>
      </c>
    </row>
    <row r="30" customFormat="false" ht="15" hidden="false" customHeight="false" outlineLevel="0" collapsed="false">
      <c r="A30" s="43" t="s">
        <v>174</v>
      </c>
      <c r="B30" s="44" t="n">
        <v>0.03</v>
      </c>
      <c r="C30" s="40" t="n">
        <f aca="false">B30*$B$23</f>
        <v>187500</v>
      </c>
    </row>
    <row r="31" customFormat="false" ht="15" hidden="false" customHeight="false" outlineLevel="0" collapsed="false">
      <c r="A31" s="45" t="s">
        <v>136</v>
      </c>
      <c r="B31" s="46" t="n">
        <f aca="false">SUM(B25:B30)</f>
        <v>1</v>
      </c>
      <c r="C31" s="47" t="n">
        <f aca="false">SUM(C25:C30)</f>
        <v>6250000</v>
      </c>
    </row>
    <row r="33" customFormat="false" ht="42" hidden="false" customHeight="true" outlineLevel="0" collapsed="false">
      <c r="A33" s="29" t="s">
        <v>175</v>
      </c>
      <c r="B33" s="29"/>
      <c r="C33" s="29"/>
      <c r="D33" s="29"/>
      <c r="E33" s="29"/>
      <c r="F33" s="29"/>
    </row>
    <row r="35" customFormat="false" ht="15" hidden="false" customHeight="false" outlineLevel="0" collapsed="false">
      <c r="A35" s="8" t="s">
        <v>176</v>
      </c>
    </row>
    <row r="36" customFormat="false" ht="15" hidden="false" customHeight="false" outlineLevel="0" collapsed="false">
      <c r="A36" s="10" t="s">
        <v>177</v>
      </c>
      <c r="B36" s="48" t="n">
        <f aca="false">$B$23</f>
        <v>6250000</v>
      </c>
    </row>
    <row r="37" customFormat="false" ht="15" hidden="false" customHeight="false" outlineLevel="0" collapsed="false">
      <c r="A37" s="10" t="s">
        <v>178</v>
      </c>
      <c r="B37" s="14" t="n">
        <v>99</v>
      </c>
    </row>
    <row r="38" customFormat="false" ht="26.85" hidden="false" customHeight="false" outlineLevel="0" collapsed="false">
      <c r="A38" s="41" t="s">
        <v>179</v>
      </c>
      <c r="B38" s="41" t="s">
        <v>180</v>
      </c>
      <c r="C38" s="41" t="s">
        <v>181</v>
      </c>
      <c r="D38" s="41" t="s">
        <v>182</v>
      </c>
      <c r="E38" s="41" t="s">
        <v>183</v>
      </c>
    </row>
    <row r="39" customFormat="false" ht="15" hidden="false" customHeight="false" outlineLevel="0" collapsed="false">
      <c r="A39" s="49" t="n">
        <v>10</v>
      </c>
      <c r="B39" s="40" t="n">
        <f aca="false">$B$36/A39</f>
        <v>625000</v>
      </c>
      <c r="C39" s="42" t="n">
        <f aca="false">B39/$B$37</f>
        <v>6313.13131313131</v>
      </c>
      <c r="D39" s="42" t="n">
        <f aca="false">B39/199</f>
        <v>3140.70351758794</v>
      </c>
      <c r="E39" s="42" t="n">
        <f aca="false">B39/4000</f>
        <v>156.25</v>
      </c>
    </row>
    <row r="40" customFormat="false" ht="15" hidden="false" customHeight="false" outlineLevel="0" collapsed="false">
      <c r="A40" s="49" t="n">
        <v>5</v>
      </c>
      <c r="B40" s="40" t="n">
        <f aca="false">$B$36/A40</f>
        <v>1250000</v>
      </c>
      <c r="C40" s="42" t="n">
        <f aca="false">B40/$B$37</f>
        <v>12626.2626262626</v>
      </c>
      <c r="D40" s="42" t="n">
        <f aca="false">B40/199</f>
        <v>6281.40703517588</v>
      </c>
      <c r="E40" s="42" t="n">
        <f aca="false">B40/4000</f>
        <v>312.5</v>
      </c>
    </row>
    <row r="41" customFormat="false" ht="15" hidden="false" customHeight="false" outlineLevel="0" collapsed="false">
      <c r="A41" s="49" t="n">
        <v>2.5</v>
      </c>
      <c r="B41" s="40" t="n">
        <f aca="false">$B$36/A41</f>
        <v>2500000</v>
      </c>
      <c r="C41" s="42" t="n">
        <f aca="false">B41/$B$37</f>
        <v>25252.5252525253</v>
      </c>
      <c r="D41" s="42" t="n">
        <f aca="false">B41/199</f>
        <v>12562.8140703518</v>
      </c>
      <c r="E41" s="42" t="n">
        <f aca="false">B41/4000</f>
        <v>625</v>
      </c>
    </row>
    <row r="43" customFormat="false" ht="43.5" hidden="false" customHeight="true" outlineLevel="0" collapsed="false">
      <c r="A43" s="29" t="s">
        <v>184</v>
      </c>
      <c r="B43" s="29"/>
      <c r="C43" s="29"/>
      <c r="D43" s="29"/>
      <c r="E43" s="29"/>
      <c r="F43" s="29"/>
    </row>
  </sheetData>
  <mergeCells count="5">
    <mergeCell ref="A2:F2"/>
    <mergeCell ref="A12:F12"/>
    <mergeCell ref="A20:F20"/>
    <mergeCell ref="A33:F33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2026-06-22T00:07:29Z</dcterms:created>
  <dc:creator>openpyxl</dc:creator>
  <dc:description/>
  <dc:language>en-US</dc:language>
  <cp:lastModifiedBy/>
  <dcterms:modified xsi:type="dcterms:W3CDTF">2026-06-22T00:07:29Z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